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g\OneDrive\Documents\"/>
    </mc:Choice>
  </mc:AlternateContent>
  <xr:revisionPtr revIDLastSave="0" documentId="13_ncr:1_{0ED086E8-E26B-40FF-A0C1-2CABB1D35DB6}" xr6:coauthVersionLast="47" xr6:coauthVersionMax="47" xr10:uidLastSave="{00000000-0000-0000-0000-000000000000}"/>
  <bookViews>
    <workbookView xWindow="-110" yWindow="-110" windowWidth="19420" windowHeight="10300" xr2:uid="{5F71DACE-CC34-48C3-939A-C6390E87CEA6}"/>
  </bookViews>
  <sheets>
    <sheet name="KELAS 7" sheetId="1" r:id="rId1"/>
    <sheet name="KELAS 8" sheetId="2" r:id="rId2"/>
    <sheet name="KELAS 9" sheetId="3" r:id="rId3"/>
    <sheet name="Lembar1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3" l="1"/>
  <c r="C20" i="3"/>
  <c r="C22" i="3" s="1"/>
</calcChain>
</file>

<file path=xl/sharedStrings.xml><?xml version="1.0" encoding="utf-8"?>
<sst xmlns="http://schemas.openxmlformats.org/spreadsheetml/2006/main" count="255" uniqueCount="219">
  <si>
    <t>Alimatun Zaini</t>
  </si>
  <si>
    <t>April Liyani</t>
  </si>
  <si>
    <t>Arkam Aklls</t>
  </si>
  <si>
    <t>Bintang Aditya Pratama</t>
  </si>
  <si>
    <t>Dewi Anjar Birawa</t>
  </si>
  <si>
    <t>Habib Al Ghifari</t>
  </si>
  <si>
    <t>Helmi Zahratul Ahyan</t>
  </si>
  <si>
    <t>Novi Nurilita</t>
  </si>
  <si>
    <t>Octavia Putri</t>
  </si>
  <si>
    <t>Ruslan Jayadi</t>
  </si>
  <si>
    <t>Tiara Suci Cahyani</t>
  </si>
  <si>
    <t>Wafa Aulia Putri</t>
  </si>
  <si>
    <t>Queenta Arnelita</t>
  </si>
  <si>
    <t>Muhammad Sandi</t>
  </si>
  <si>
    <t>Natasya Audi Aulia Putri</t>
  </si>
  <si>
    <t>sasmita</t>
  </si>
  <si>
    <t>sabura karata</t>
  </si>
  <si>
    <t>hafifah fatiyah</t>
  </si>
  <si>
    <t>riyanda oktapia</t>
  </si>
  <si>
    <t>muhammad wahyu dwi putra</t>
  </si>
  <si>
    <t>tri adem saputra</t>
  </si>
  <si>
    <t>Afan Halfan</t>
  </si>
  <si>
    <t>Dinda Saputri</t>
  </si>
  <si>
    <t>Diva</t>
  </si>
  <si>
    <t>EGI ANUGRAH PUTRA</t>
  </si>
  <si>
    <t>Febrianto</t>
  </si>
  <si>
    <t>Fiska Gayatri</t>
  </si>
  <si>
    <t>Fitri Arum Waqi'ah</t>
  </si>
  <si>
    <t>Galang Hermansyah</t>
  </si>
  <si>
    <t>Haris Gema Ramadhan</t>
  </si>
  <si>
    <t>Idris Apandi</t>
  </si>
  <si>
    <t>IRPANSYAH</t>
  </si>
  <si>
    <t>Malik Ibnu Ahmad</t>
  </si>
  <si>
    <t>Muhammad Ramdan Hapip</t>
  </si>
  <si>
    <t>NUR AENI</t>
  </si>
  <si>
    <t>Rafa Para Dillah</t>
  </si>
  <si>
    <t>Sakina Wilda Ayu</t>
  </si>
  <si>
    <t>Abdika Muhammad Halid</t>
  </si>
  <si>
    <t>Ahmad Junaidi Akbar</t>
  </si>
  <si>
    <t>Aida Putri</t>
  </si>
  <si>
    <t>Azril Alfahrizi</t>
  </si>
  <si>
    <t>Baiq Ulfa</t>
  </si>
  <si>
    <t>Hera Fadila Rohan Ningsih</t>
  </si>
  <si>
    <t>Hisnu Hotimah</t>
  </si>
  <si>
    <t>Iraika</t>
  </si>
  <si>
    <t>Messya Yolanda</t>
  </si>
  <si>
    <t>Muhammad Hamdi</t>
  </si>
  <si>
    <t>Muhamad Ihsan</t>
  </si>
  <si>
    <t>Muhammad Ersan Riski</t>
  </si>
  <si>
    <t>Muhammad Rendy</t>
  </si>
  <si>
    <t>Naura Agustina Mora</t>
  </si>
  <si>
    <t>Noval Alfarih</t>
  </si>
  <si>
    <t>Reyzo Febriyan Iqbal</t>
  </si>
  <si>
    <t>Ridoan</t>
  </si>
  <si>
    <t>Sahrul Nadi</t>
  </si>
  <si>
    <t>Salfana Febriani Liran</t>
  </si>
  <si>
    <t>Sanru Alfarizi</t>
  </si>
  <si>
    <t>Siska Juliani</t>
  </si>
  <si>
    <t>Yeyen Alena</t>
  </si>
  <si>
    <t>Nma Siswa</t>
  </si>
  <si>
    <t>NO</t>
  </si>
  <si>
    <t>Dini Kartika Sari</t>
  </si>
  <si>
    <t>Muhammad Siddiq Abdul Malik</t>
  </si>
  <si>
    <t>Suci Hazla Utari</t>
  </si>
  <si>
    <t>NAMA SISWA</t>
  </si>
  <si>
    <t>GENDER</t>
  </si>
  <si>
    <t>NIS</t>
  </si>
  <si>
    <t>NISN</t>
  </si>
  <si>
    <t>TEMPAT TANGGAL LAHIR</t>
  </si>
  <si>
    <t>NIK</t>
  </si>
  <si>
    <t>ALAMAT DOMISILI</t>
  </si>
  <si>
    <t>NAMA AYAH</t>
  </si>
  <si>
    <t>NAMA IBU</t>
  </si>
  <si>
    <t>L</t>
  </si>
  <si>
    <t>Asrama/Yayasan</t>
  </si>
  <si>
    <t>P</t>
  </si>
  <si>
    <t>Dharma Bakti</t>
  </si>
  <si>
    <t>Bersama Orang Tua</t>
  </si>
  <si>
    <t>Jumlah Keseluruhan</t>
  </si>
  <si>
    <t>Anak Luar</t>
  </si>
  <si>
    <t>Anak Dalam</t>
  </si>
  <si>
    <t xml:space="preserve">JENIS TINGGAL </t>
  </si>
  <si>
    <t>0096</t>
  </si>
  <si>
    <t>3118064924</t>
  </si>
  <si>
    <t>Hijrah, 24 Agustus 2011</t>
  </si>
  <si>
    <t>5207082408110002</t>
  </si>
  <si>
    <t>Jl. dharma bakti</t>
  </si>
  <si>
    <t>Faisal Halfan</t>
  </si>
  <si>
    <t>mastari</t>
  </si>
  <si>
    <t>0097</t>
  </si>
  <si>
    <t>0117285448</t>
  </si>
  <si>
    <t>Jelateng, 17 Agustus 2011</t>
  </si>
  <si>
    <t>5201125704120001</t>
  </si>
  <si>
    <t>duman dasan</t>
  </si>
  <si>
    <t>Sapdi</t>
  </si>
  <si>
    <t>Hidayah</t>
  </si>
  <si>
    <t>0098</t>
  </si>
  <si>
    <t>3103744178</t>
  </si>
  <si>
    <t>Jember, 03 Juni 2010</t>
  </si>
  <si>
    <t>3509064306100006</t>
  </si>
  <si>
    <t>Sintung</t>
  </si>
  <si>
    <t>PATU</t>
  </si>
  <si>
    <t>Supaina</t>
  </si>
  <si>
    <t>0099</t>
  </si>
  <si>
    <t>Batutulis, 13 Maret 2012</t>
  </si>
  <si>
    <t>5202021303120003</t>
  </si>
  <si>
    <t>BATUTULIS</t>
  </si>
  <si>
    <t>RAWIYAH</t>
  </si>
  <si>
    <t>ROHANI</t>
  </si>
  <si>
    <t>0100</t>
  </si>
  <si>
    <t>0124722220</t>
  </si>
  <si>
    <t>Mataram, 12 Februari 2012</t>
  </si>
  <si>
    <t>5271061202120004</t>
  </si>
  <si>
    <t>Bertais</t>
  </si>
  <si>
    <t>Halimah</t>
  </si>
  <si>
    <t>0101</t>
  </si>
  <si>
    <t>3133097921</t>
  </si>
  <si>
    <t>Semalun, 21 Maret 2013</t>
  </si>
  <si>
    <t>5202106103130004</t>
  </si>
  <si>
    <t>Desa Pengadang</t>
  </si>
  <si>
    <t>Purwanta</t>
  </si>
  <si>
    <t>Rusniati</t>
  </si>
  <si>
    <t>0102</t>
  </si>
  <si>
    <t>3106155816</t>
  </si>
  <si>
    <t>Semarang, 12 September 2010</t>
  </si>
  <si>
    <t>5271015209100002</t>
  </si>
  <si>
    <t>Duman Dasan</t>
  </si>
  <si>
    <t>Adi Prihanto</t>
  </si>
  <si>
    <t>Amnah</t>
  </si>
  <si>
    <t>0103</t>
  </si>
  <si>
    <t>0119901905</t>
  </si>
  <si>
    <t>sengkolit, 17 Oktober 2011</t>
  </si>
  <si>
    <t>5202021710110001</t>
  </si>
  <si>
    <t>jl. dharma bakti</t>
  </si>
  <si>
    <t>ajap</t>
  </si>
  <si>
    <t>rakmah</t>
  </si>
  <si>
    <t>0104</t>
  </si>
  <si>
    <t>3119702663</t>
  </si>
  <si>
    <t>Yogyakarta, 01 Agustus 2011</t>
  </si>
  <si>
    <t>3402160108110002</t>
  </si>
  <si>
    <t>-</t>
  </si>
  <si>
    <t>Laila Kadarsih</t>
  </si>
  <si>
    <t>0105</t>
  </si>
  <si>
    <t>0109255182</t>
  </si>
  <si>
    <t>Mekarsari, 03 April 2010</t>
  </si>
  <si>
    <t>5201090304100001</t>
  </si>
  <si>
    <t>Dusun Erat Mate</t>
  </si>
  <si>
    <t>Marsoan</t>
  </si>
  <si>
    <t>sri wati</t>
  </si>
  <si>
    <t>0106</t>
  </si>
  <si>
    <t>0102004413</t>
  </si>
  <si>
    <t>Lopok, 20 April 2010</t>
  </si>
  <si>
    <t>5204262004100002</t>
  </si>
  <si>
    <t>Karsos</t>
  </si>
  <si>
    <t>SYAFARUDDIN</t>
  </si>
  <si>
    <t>RASIMA</t>
  </si>
  <si>
    <t>0107</t>
  </si>
  <si>
    <t>0116777079</t>
  </si>
  <si>
    <t>Guntur macan, 26 Juni 2011</t>
  </si>
  <si>
    <t>5201092606110005</t>
  </si>
  <si>
    <t>Dusun Guntur Macan</t>
  </si>
  <si>
    <t>M. Azhar</t>
  </si>
  <si>
    <t>Latunnajah</t>
  </si>
  <si>
    <t>0108</t>
  </si>
  <si>
    <t>3091722785</t>
  </si>
  <si>
    <t>Jati Ireng, 09 September 2009</t>
  </si>
  <si>
    <t>5201090909090001</t>
  </si>
  <si>
    <t>Yeni Saputra</t>
  </si>
  <si>
    <t>Maisah</t>
  </si>
  <si>
    <t>0109</t>
  </si>
  <si>
    <t>0122723575</t>
  </si>
  <si>
    <t>Pelolat, 30 April 2012</t>
  </si>
  <si>
    <t>5201147004120004</t>
  </si>
  <si>
    <t>Bengkaung</t>
  </si>
  <si>
    <t>Radimah</t>
  </si>
  <si>
    <t>Muna'ah</t>
  </si>
  <si>
    <t>0110</t>
  </si>
  <si>
    <t>0119463260</t>
  </si>
  <si>
    <t>Jelateng, 22 Januari 2011</t>
  </si>
  <si>
    <t>5201122201110001</t>
  </si>
  <si>
    <t>jelateng</t>
  </si>
  <si>
    <t>Fahrul Aziz</t>
  </si>
  <si>
    <t>Dewi Ratna Sari</t>
  </si>
  <si>
    <t>0112</t>
  </si>
  <si>
    <t>0118514868</t>
  </si>
  <si>
    <t>Guntur Macan, 04 Juli 2011</t>
  </si>
  <si>
    <t>5201094407110005</t>
  </si>
  <si>
    <t>Siti Hasanah</t>
  </si>
  <si>
    <t>Jumlah Laki-laki</t>
  </si>
  <si>
    <t xml:space="preserve">Jumlah Perempuan </t>
  </si>
  <si>
    <t>SISWA SUMBAWA</t>
  </si>
  <si>
    <t>yeyen</t>
  </si>
  <si>
    <t>ulfa</t>
  </si>
  <si>
    <t>aida</t>
  </si>
  <si>
    <t>yola</t>
  </si>
  <si>
    <t>jurnalistik</t>
  </si>
  <si>
    <t>z</t>
  </si>
  <si>
    <t>Fera Diana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</si>
  <si>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</si>
  <si>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</si>
  <si>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</si>
  <si>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</si>
  <si>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</si>
  <si>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</si>
  <si>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</si>
  <si>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</si>
  <si>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</si>
  <si>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</si>
  <si>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</si>
  <si>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</si>
  <si>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</si>
  <si>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</si>
  <si>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</si>
  <si>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</si>
  <si>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</si>
  <si>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</si>
  <si>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</si>
  <si>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Alvian Pratama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</si>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</sst>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" fontId="0" fillId="0" borderId="1" xfId="0" applyNumberFormat="1" applyBorder="1"/>
    <xf numFmtId="0" fontId="7" fillId="0" borderId="1" xfId="0" applyFont="1" applyBorder="1"/>
    <xf numFmtId="0" fontId="0" fillId="0" borderId="0" xfId="0" applyAlignment="1">
      <alignment horizontal="center" vertical="center"/>
    </xf>
    <xf numFmtId="0" fontId="0" fillId="2" borderId="1" xfId="0" applyFill="1" applyBorder="1"/>
    <xf numFmtId="0" fontId="0" fillId="3" borderId="1" xfId="0" applyFill="1" applyBorder="1"/>
    <xf numFmtId="0" fontId="4" fillId="4" borderId="1" xfId="0" applyFont="1" applyFill="1" applyBorder="1"/>
    <xf numFmtId="0" fontId="4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1" xfId="0" quotePrefix="1" applyBorder="1"/>
    <xf numFmtId="1" fontId="0" fillId="0" borderId="0" xfId="0" applyNumberFormat="1"/>
    <xf numFmtId="0" fontId="0" fillId="0" borderId="1" xfId="0" applyBorder="1" applyAlignment="1">
      <alignment horizontal="left"/>
    </xf>
    <xf numFmtId="0" fontId="0" fillId="5" borderId="0" xfId="0" applyFill="1"/>
    <xf numFmtId="0" fontId="4" fillId="0" borderId="0" xfId="0" applyFont="1" applyAlignment="1">
      <alignment horizontal="center"/>
    </xf>
    <xf numFmtId="1" fontId="6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/>
    </xf>
    <xf numFmtId="0" fontId="7" fillId="0" borderId="0" xfId="0" applyFont="1"/>
    <xf numFmtId="1" fontId="0" fillId="0" borderId="0" xfId="0" quotePrefix="1" applyNumberFormat="1"/>
    <xf numFmtId="1" fontId="0" fillId="0" borderId="0" xfId="0" applyNumberFormat="1" applyAlignment="1">
      <alignment horizontal="left"/>
    </xf>
    <xf numFmtId="0" fontId="4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5" fillId="5" borderId="1" xfId="0" applyFont="1" applyFill="1" applyBorder="1"/>
    <xf numFmtId="0" fontId="0" fillId="6" borderId="0" xfId="0" applyFill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quotePrefix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48BCE-A8C0-44AD-A70E-356AC1943D1F}">
  <dimension ref="A1:I28"/>
  <sheetViews>
    <sheetView tabSelected="1" zoomScale="74" workbookViewId="0">
      <selection activeCell="G21" sqref="G21"/>
    </sheetView>
  </sheetViews>
  <sheetFormatPr defaultRowHeight="14.5" x14ac:dyDescent="0.35"/>
  <cols>
    <col min="2" max="2" width="31.90625" customWidth="1"/>
    <col min="3" max="3" width="12.26953125" style="44" customWidth="1"/>
    <col min="4" max="4" width="11.6328125" style="44" customWidth="1"/>
    <col min="5" max="5" width="13" style="3" customWidth="1"/>
    <col min="6" max="9" width="11.6328125" style="3" customWidth="1"/>
  </cols>
  <sheetData>
    <row r="1" spans="1:9" x14ac:dyDescent="0.35">
      <c r="A1" s="4" t="s">
        <v>60</v>
      </c>
      <c r="B1" s="4" t="s">
        <v>59</v>
      </c>
      <c r="C1" s="45" t="s">
        <v>66</v>
      </c>
      <c r="D1" s="40"/>
      <c r="E1" s="41"/>
      <c r="F1" s="41"/>
      <c r="G1" s="41"/>
      <c r="H1" s="41"/>
      <c r="I1" s="41"/>
    </row>
    <row r="2" spans="1:9" x14ac:dyDescent="0.35">
      <c r="A2" s="37">
        <v>1</v>
      </c>
      <c r="B2" s="2" t="s">
        <v>0</v>
      </c>
      <c r="C2" s="46" t="s">
        <v>198</v>
      </c>
      <c r="D2" s="40"/>
      <c r="E2" s="41"/>
      <c r="F2" s="41"/>
      <c r="G2" s="41"/>
      <c r="H2" s="41"/>
      <c r="I2" s="41"/>
    </row>
    <row r="3" spans="1:9" x14ac:dyDescent="0.35">
      <c r="A3" s="35">
        <v>2</v>
      </c>
      <c r="B3" s="36" t="s">
        <v>217</v>
      </c>
      <c r="C3" s="46" t="s">
        <v>199</v>
      </c>
      <c r="D3" s="3"/>
    </row>
    <row r="4" spans="1:9" x14ac:dyDescent="0.35">
      <c r="A4" s="35">
        <v>3</v>
      </c>
      <c r="B4" s="2" t="s">
        <v>1</v>
      </c>
      <c r="C4" s="46" t="s">
        <v>200</v>
      </c>
      <c r="D4" s="3"/>
    </row>
    <row r="5" spans="1:9" x14ac:dyDescent="0.35">
      <c r="A5" s="37">
        <v>4</v>
      </c>
      <c r="B5" s="2" t="s">
        <v>2</v>
      </c>
      <c r="C5" s="46" t="s">
        <v>201</v>
      </c>
      <c r="D5" s="3"/>
    </row>
    <row r="6" spans="1:9" x14ac:dyDescent="0.35">
      <c r="A6" s="35">
        <v>5</v>
      </c>
      <c r="B6" s="2" t="s">
        <v>3</v>
      </c>
      <c r="C6" s="46" t="s">
        <v>202</v>
      </c>
      <c r="D6" s="3"/>
    </row>
    <row r="7" spans="1:9" x14ac:dyDescent="0.35">
      <c r="A7" s="37">
        <v>6</v>
      </c>
      <c r="B7" s="2" t="s">
        <v>4</v>
      </c>
      <c r="C7" s="46" t="s">
        <v>203</v>
      </c>
      <c r="D7" s="3"/>
    </row>
    <row r="8" spans="1:9" x14ac:dyDescent="0.35">
      <c r="A8" s="35">
        <v>7</v>
      </c>
      <c r="B8" s="2" t="s">
        <v>61</v>
      </c>
      <c r="C8" s="46" t="s">
        <v>204</v>
      </c>
      <c r="D8" s="3"/>
    </row>
    <row r="9" spans="1:9" x14ac:dyDescent="0.35">
      <c r="A9" s="37">
        <v>8</v>
      </c>
      <c r="B9" s="2" t="s">
        <v>5</v>
      </c>
      <c r="C9" s="46" t="s">
        <v>205</v>
      </c>
      <c r="D9" s="3"/>
    </row>
    <row r="10" spans="1:9" x14ac:dyDescent="0.35">
      <c r="A10" s="35">
        <v>9</v>
      </c>
      <c r="B10" s="2" t="s">
        <v>6</v>
      </c>
      <c r="C10" s="46" t="s">
        <v>206</v>
      </c>
      <c r="D10" s="3"/>
    </row>
    <row r="11" spans="1:9" x14ac:dyDescent="0.35">
      <c r="A11" s="37">
        <v>10</v>
      </c>
      <c r="B11" s="2" t="s">
        <v>13</v>
      </c>
      <c r="C11" s="46" t="s">
        <v>207</v>
      </c>
      <c r="D11" s="3"/>
    </row>
    <row r="12" spans="1:9" x14ac:dyDescent="0.35">
      <c r="A12" s="35">
        <v>11</v>
      </c>
      <c r="B12" s="2" t="s">
        <v>62</v>
      </c>
      <c r="C12" s="46" t="s">
        <v>208</v>
      </c>
      <c r="D12" s="3"/>
    </row>
    <row r="13" spans="1:9" x14ac:dyDescent="0.35">
      <c r="A13" s="37">
        <v>12</v>
      </c>
      <c r="B13" s="2" t="s">
        <v>14</v>
      </c>
      <c r="C13" s="46" t="s">
        <v>209</v>
      </c>
      <c r="D13" s="3"/>
    </row>
    <row r="14" spans="1:9" x14ac:dyDescent="0.35">
      <c r="A14" s="35">
        <v>13</v>
      </c>
      <c r="B14" s="2" t="s">
        <v>7</v>
      </c>
      <c r="C14" s="46" t="s">
        <v>210</v>
      </c>
      <c r="D14" s="3"/>
    </row>
    <row r="15" spans="1:9" x14ac:dyDescent="0.35">
      <c r="A15" s="37">
        <v>14</v>
      </c>
      <c r="B15" s="2" t="s">
        <v>8</v>
      </c>
      <c r="C15" s="46" t="s">
        <v>211</v>
      </c>
      <c r="D15" s="3"/>
    </row>
    <row r="16" spans="1:9" x14ac:dyDescent="0.35">
      <c r="A16" s="35">
        <v>15</v>
      </c>
      <c r="B16" s="2" t="s">
        <v>12</v>
      </c>
      <c r="C16" s="46" t="s">
        <v>212</v>
      </c>
      <c r="D16" s="3"/>
    </row>
    <row r="17" spans="1:9" x14ac:dyDescent="0.35">
      <c r="A17" s="37">
        <v>16</v>
      </c>
      <c r="B17" s="2" t="s">
        <v>9</v>
      </c>
      <c r="C17" s="46" t="s">
        <v>213</v>
      </c>
      <c r="D17" s="3"/>
    </row>
    <row r="18" spans="1:9" x14ac:dyDescent="0.35">
      <c r="A18" s="35">
        <v>17</v>
      </c>
      <c r="B18" s="2" t="s">
        <v>15</v>
      </c>
      <c r="C18" s="46" t="s">
        <v>214</v>
      </c>
      <c r="D18" s="3"/>
    </row>
    <row r="19" spans="1:9" x14ac:dyDescent="0.35">
      <c r="A19" s="37">
        <v>18</v>
      </c>
      <c r="B19" s="2" t="s">
        <v>63</v>
      </c>
      <c r="C19" s="46" t="s">
        <v>215</v>
      </c>
      <c r="D19" s="3"/>
    </row>
    <row r="20" spans="1:9" x14ac:dyDescent="0.35">
      <c r="A20" s="35">
        <v>19</v>
      </c>
      <c r="B20" s="2" t="s">
        <v>10</v>
      </c>
      <c r="C20" s="46" t="s">
        <v>216</v>
      </c>
      <c r="D20" s="3"/>
    </row>
    <row r="21" spans="1:9" x14ac:dyDescent="0.35">
      <c r="A21" s="37">
        <v>20</v>
      </c>
      <c r="B21" s="2" t="s">
        <v>11</v>
      </c>
      <c r="C21" s="46" t="s">
        <v>218</v>
      </c>
      <c r="D21" s="3"/>
    </row>
    <row r="22" spans="1:9" s="1" customFormat="1" x14ac:dyDescent="0.35">
      <c r="A22" s="47">
        <v>21</v>
      </c>
      <c r="B22" s="38" t="s">
        <v>16</v>
      </c>
      <c r="C22" s="48"/>
      <c r="D22" s="3"/>
      <c r="E22" s="42"/>
      <c r="F22" s="42"/>
      <c r="G22" s="42"/>
      <c r="H22" s="42"/>
      <c r="I22" s="42"/>
    </row>
    <row r="23" spans="1:9" s="1" customFormat="1" x14ac:dyDescent="0.35">
      <c r="A23" s="49">
        <v>22</v>
      </c>
      <c r="B23" s="38" t="s">
        <v>17</v>
      </c>
      <c r="C23" s="48"/>
      <c r="D23" s="3"/>
      <c r="E23" s="42"/>
      <c r="F23" s="42"/>
      <c r="G23" s="42"/>
      <c r="H23" s="42"/>
      <c r="I23" s="42"/>
    </row>
    <row r="24" spans="1:9" s="1" customFormat="1" x14ac:dyDescent="0.35">
      <c r="A24" s="47">
        <v>23</v>
      </c>
      <c r="B24" s="38" t="s">
        <v>18</v>
      </c>
      <c r="C24" s="50"/>
      <c r="D24" s="43"/>
      <c r="E24" s="42"/>
      <c r="F24" s="42"/>
      <c r="G24" s="42"/>
      <c r="H24" s="42"/>
      <c r="I24" s="42"/>
    </row>
    <row r="25" spans="1:9" s="1" customFormat="1" x14ac:dyDescent="0.35">
      <c r="A25" s="49">
        <v>24</v>
      </c>
      <c r="B25" s="38" t="s">
        <v>19</v>
      </c>
      <c r="C25" s="50"/>
      <c r="D25" s="43"/>
      <c r="E25" s="42"/>
      <c r="F25" s="42"/>
      <c r="G25" s="42"/>
      <c r="H25" s="42"/>
      <c r="I25" s="42"/>
    </row>
    <row r="26" spans="1:9" s="1" customFormat="1" x14ac:dyDescent="0.35">
      <c r="A26" s="47">
        <v>25</v>
      </c>
      <c r="B26" s="38" t="s">
        <v>20</v>
      </c>
      <c r="C26" s="50"/>
      <c r="D26" s="43"/>
      <c r="E26" s="42"/>
      <c r="F26" s="42"/>
      <c r="G26" s="42"/>
      <c r="H26" s="42"/>
      <c r="I26" s="42"/>
    </row>
    <row r="28" spans="1:9" x14ac:dyDescent="0.35">
      <c r="A28" s="26"/>
      <c r="B28" t="s">
        <v>190</v>
      </c>
    </row>
  </sheetData>
  <sortState xmlns:xlrd2="http://schemas.microsoft.com/office/spreadsheetml/2017/richdata2" ref="B3:B21">
    <sortCondition ref="B2:B21"/>
  </sortState>
  <phoneticPr fontId="9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2503-0F57-4056-82F9-379A838D4C02}">
  <dimension ref="A1:K30"/>
  <sheetViews>
    <sheetView topLeftCell="A7" workbookViewId="0">
      <selection sqref="A1:B23"/>
    </sheetView>
  </sheetViews>
  <sheetFormatPr defaultRowHeight="14.5" x14ac:dyDescent="0.35"/>
  <cols>
    <col min="1" max="1" width="5.453125" customWidth="1"/>
    <col min="2" max="2" width="25.54296875" customWidth="1"/>
    <col min="3" max="3" width="8.7265625" customWidth="1"/>
    <col min="5" max="5" width="13.7265625" customWidth="1"/>
    <col min="6" max="6" width="30.6328125" customWidth="1"/>
    <col min="7" max="7" width="18.1796875" customWidth="1"/>
    <col min="8" max="8" width="22.54296875" customWidth="1"/>
    <col min="9" max="9" width="15.81640625" customWidth="1"/>
    <col min="10" max="10" width="18.54296875" customWidth="1"/>
    <col min="11" max="11" width="25.6328125" customWidth="1"/>
  </cols>
  <sheetData>
    <row r="1" spans="1:11" ht="15.5" x14ac:dyDescent="0.35">
      <c r="A1" s="4" t="s">
        <v>60</v>
      </c>
      <c r="B1" s="5" t="s">
        <v>64</v>
      </c>
      <c r="C1" s="15"/>
      <c r="D1" s="15"/>
      <c r="E1" s="27"/>
      <c r="F1" s="27"/>
      <c r="G1" s="28"/>
      <c r="H1" s="29"/>
      <c r="I1" s="29"/>
      <c r="J1" s="29"/>
      <c r="K1" s="29"/>
    </row>
    <row r="2" spans="1:11" x14ac:dyDescent="0.35">
      <c r="A2" s="6">
        <v>1</v>
      </c>
      <c r="B2" s="2" t="s">
        <v>37</v>
      </c>
      <c r="C2" s="3"/>
      <c r="D2" s="30"/>
      <c r="G2" s="24"/>
      <c r="H2" s="31"/>
    </row>
    <row r="3" spans="1:11" x14ac:dyDescent="0.35">
      <c r="A3" s="6">
        <v>2</v>
      </c>
      <c r="B3" s="2" t="s">
        <v>38</v>
      </c>
      <c r="C3" s="3"/>
      <c r="D3" s="30"/>
      <c r="G3" s="32"/>
    </row>
    <row r="4" spans="1:11" x14ac:dyDescent="0.35">
      <c r="A4" s="6">
        <v>3</v>
      </c>
      <c r="B4" s="2" t="s">
        <v>39</v>
      </c>
      <c r="C4" s="3"/>
      <c r="D4" s="30"/>
      <c r="G4" s="24"/>
    </row>
    <row r="5" spans="1:11" x14ac:dyDescent="0.35">
      <c r="A5" s="6">
        <v>4</v>
      </c>
      <c r="B5" s="2" t="s">
        <v>40</v>
      </c>
      <c r="C5" s="3"/>
      <c r="D5" s="30"/>
      <c r="G5" s="24"/>
    </row>
    <row r="6" spans="1:11" x14ac:dyDescent="0.35">
      <c r="A6" s="6">
        <v>5</v>
      </c>
      <c r="B6" s="2" t="s">
        <v>41</v>
      </c>
      <c r="C6" s="3"/>
      <c r="D6" s="30"/>
      <c r="G6" s="24"/>
    </row>
    <row r="7" spans="1:11" x14ac:dyDescent="0.35">
      <c r="A7" s="6">
        <v>6</v>
      </c>
      <c r="B7" s="2" t="s">
        <v>42</v>
      </c>
      <c r="C7" s="3"/>
      <c r="D7" s="30"/>
      <c r="G7" s="24"/>
    </row>
    <row r="8" spans="1:11" x14ac:dyDescent="0.35">
      <c r="A8" s="6">
        <v>7</v>
      </c>
      <c r="B8" s="2" t="s">
        <v>43</v>
      </c>
      <c r="C8" s="3"/>
      <c r="D8" s="30"/>
      <c r="G8" s="24"/>
    </row>
    <row r="9" spans="1:11" x14ac:dyDescent="0.35">
      <c r="A9" s="6">
        <v>8</v>
      </c>
      <c r="B9" s="2" t="s">
        <v>44</v>
      </c>
      <c r="C9" s="3"/>
      <c r="D9" s="30"/>
      <c r="G9" s="24"/>
    </row>
    <row r="10" spans="1:11" x14ac:dyDescent="0.35">
      <c r="A10" s="6">
        <v>9</v>
      </c>
      <c r="B10" s="2" t="s">
        <v>45</v>
      </c>
      <c r="C10" s="3"/>
      <c r="D10" s="30"/>
      <c r="G10" s="24"/>
    </row>
    <row r="11" spans="1:11" x14ac:dyDescent="0.35">
      <c r="A11" s="6">
        <v>10</v>
      </c>
      <c r="B11" s="2" t="s">
        <v>46</v>
      </c>
      <c r="C11" s="3"/>
      <c r="D11" s="30"/>
      <c r="G11" s="24"/>
    </row>
    <row r="12" spans="1:11" x14ac:dyDescent="0.35">
      <c r="A12" s="6">
        <v>11</v>
      </c>
      <c r="B12" s="2" t="s">
        <v>47</v>
      </c>
      <c r="C12" s="3"/>
      <c r="D12" s="30"/>
      <c r="G12" s="24"/>
    </row>
    <row r="13" spans="1:11" x14ac:dyDescent="0.35">
      <c r="A13" s="6">
        <v>12</v>
      </c>
      <c r="B13" s="2" t="s">
        <v>48</v>
      </c>
      <c r="C13" s="3"/>
      <c r="D13" s="30"/>
      <c r="G13" s="24"/>
    </row>
    <row r="14" spans="1:11" x14ac:dyDescent="0.35">
      <c r="A14" s="6">
        <v>13</v>
      </c>
      <c r="B14" s="2" t="s">
        <v>49</v>
      </c>
      <c r="C14" s="3"/>
      <c r="D14" s="30"/>
      <c r="G14" s="24"/>
    </row>
    <row r="15" spans="1:11" x14ac:dyDescent="0.35">
      <c r="A15" s="6">
        <v>14</v>
      </c>
      <c r="B15" s="2" t="s">
        <v>50</v>
      </c>
      <c r="C15" s="3"/>
      <c r="D15" s="30"/>
      <c r="G15" s="24"/>
    </row>
    <row r="16" spans="1:11" x14ac:dyDescent="0.35">
      <c r="A16" s="6">
        <v>15</v>
      </c>
      <c r="B16" s="2" t="s">
        <v>51</v>
      </c>
      <c r="C16" s="3"/>
      <c r="D16" s="30"/>
      <c r="G16" s="24"/>
    </row>
    <row r="17" spans="1:8" x14ac:dyDescent="0.35">
      <c r="A17" s="6">
        <v>16</v>
      </c>
      <c r="B17" s="2" t="s">
        <v>52</v>
      </c>
      <c r="C17" s="3"/>
      <c r="D17" s="30"/>
      <c r="G17" s="24"/>
      <c r="H17" s="31"/>
    </row>
    <row r="18" spans="1:8" x14ac:dyDescent="0.35">
      <c r="A18" s="6">
        <v>17</v>
      </c>
      <c r="B18" s="2" t="s">
        <v>53</v>
      </c>
      <c r="C18" s="3"/>
      <c r="D18" s="30"/>
      <c r="G18" s="24"/>
    </row>
    <row r="19" spans="1:8" x14ac:dyDescent="0.35">
      <c r="A19" s="6">
        <v>18</v>
      </c>
      <c r="B19" s="2" t="s">
        <v>54</v>
      </c>
      <c r="C19" s="3"/>
      <c r="D19" s="30"/>
      <c r="G19" s="24"/>
    </row>
    <row r="20" spans="1:8" x14ac:dyDescent="0.35">
      <c r="A20" s="6">
        <v>19</v>
      </c>
      <c r="B20" s="2" t="s">
        <v>55</v>
      </c>
      <c r="C20" s="3"/>
      <c r="D20" s="30"/>
      <c r="G20" s="33"/>
    </row>
    <row r="21" spans="1:8" x14ac:dyDescent="0.35">
      <c r="A21" s="6">
        <v>20</v>
      </c>
      <c r="B21" s="2" t="s">
        <v>56</v>
      </c>
      <c r="C21" s="3"/>
      <c r="D21" s="30"/>
      <c r="G21" s="24"/>
    </row>
    <row r="22" spans="1:8" x14ac:dyDescent="0.35">
      <c r="A22" s="6">
        <v>21</v>
      </c>
      <c r="B22" s="2" t="s">
        <v>57</v>
      </c>
      <c r="C22" s="3"/>
      <c r="D22" s="30"/>
      <c r="G22" s="24"/>
    </row>
    <row r="23" spans="1:8" x14ac:dyDescent="0.35">
      <c r="A23" s="6">
        <v>22</v>
      </c>
      <c r="B23" s="2" t="s">
        <v>58</v>
      </c>
      <c r="C23" s="3"/>
      <c r="D23" s="30"/>
      <c r="G23" s="24"/>
    </row>
    <row r="24" spans="1:8" x14ac:dyDescent="0.35">
      <c r="A24" s="11"/>
    </row>
    <row r="25" spans="1:8" x14ac:dyDescent="0.35">
      <c r="A25" s="11"/>
      <c r="C25" s="11"/>
      <c r="D25" s="11"/>
    </row>
    <row r="26" spans="1:8" x14ac:dyDescent="0.35">
      <c r="A26" s="11"/>
      <c r="C26" s="11"/>
      <c r="D26" s="11"/>
    </row>
    <row r="27" spans="1:8" x14ac:dyDescent="0.35">
      <c r="A27" s="11"/>
      <c r="B27" s="34"/>
      <c r="C27" s="15"/>
      <c r="D27" s="15"/>
    </row>
    <row r="28" spans="1:8" x14ac:dyDescent="0.35">
      <c r="A28" s="11"/>
    </row>
    <row r="29" spans="1:8" x14ac:dyDescent="0.35">
      <c r="A29" s="11"/>
      <c r="C29" s="3"/>
    </row>
    <row r="30" spans="1:8" x14ac:dyDescent="0.35">
      <c r="A30" s="11"/>
      <c r="C30" s="3"/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4D85A-1944-4B88-8A3B-6BF734E9A22E}">
  <dimension ref="A1:K25"/>
  <sheetViews>
    <sheetView zoomScale="76" workbookViewId="0">
      <selection activeCell="F19" sqref="F19"/>
    </sheetView>
  </sheetViews>
  <sheetFormatPr defaultRowHeight="14.5" x14ac:dyDescent="0.35"/>
  <cols>
    <col min="1" max="1" width="5.36328125" customWidth="1"/>
    <col min="2" max="2" width="25.7265625" customWidth="1"/>
    <col min="5" max="5" width="13.36328125" customWidth="1"/>
    <col min="6" max="6" width="30.26953125" customWidth="1"/>
    <col min="7" max="7" width="18.1796875" customWidth="1"/>
    <col min="8" max="8" width="22" customWidth="1"/>
    <col min="9" max="9" width="16.54296875" customWidth="1"/>
    <col min="10" max="10" width="15.90625" customWidth="1"/>
    <col min="11" max="11" width="19.81640625" customWidth="1"/>
  </cols>
  <sheetData>
    <row r="1" spans="1:11" x14ac:dyDescent="0.35">
      <c r="A1" s="4" t="s">
        <v>60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5" t="s">
        <v>70</v>
      </c>
      <c r="I1" s="18" t="s">
        <v>71</v>
      </c>
      <c r="J1" s="18" t="s">
        <v>72</v>
      </c>
      <c r="K1" s="18" t="s">
        <v>81</v>
      </c>
    </row>
    <row r="2" spans="1:11" x14ac:dyDescent="0.35">
      <c r="A2" s="19">
        <v>1</v>
      </c>
      <c r="B2" s="20" t="s">
        <v>21</v>
      </c>
      <c r="C2" s="21" t="s">
        <v>73</v>
      </c>
      <c r="D2" s="22" t="s">
        <v>82</v>
      </c>
      <c r="E2" s="20" t="s">
        <v>83</v>
      </c>
      <c r="F2" s="20" t="s">
        <v>84</v>
      </c>
      <c r="G2" s="9" t="s">
        <v>85</v>
      </c>
      <c r="H2" s="2" t="s">
        <v>86</v>
      </c>
      <c r="I2" s="2" t="s">
        <v>87</v>
      </c>
      <c r="J2" s="2" t="s">
        <v>88</v>
      </c>
      <c r="K2" s="2" t="s">
        <v>74</v>
      </c>
    </row>
    <row r="3" spans="1:11" x14ac:dyDescent="0.35">
      <c r="A3" s="6">
        <v>2</v>
      </c>
      <c r="B3" s="2" t="s">
        <v>22</v>
      </c>
      <c r="C3" s="7" t="s">
        <v>75</v>
      </c>
      <c r="D3" s="8" t="s">
        <v>89</v>
      </c>
      <c r="E3" s="2" t="s">
        <v>90</v>
      </c>
      <c r="F3" s="2" t="s">
        <v>91</v>
      </c>
      <c r="G3" s="9" t="s">
        <v>92</v>
      </c>
      <c r="H3" s="2" t="s">
        <v>93</v>
      </c>
      <c r="I3" s="2" t="s">
        <v>94</v>
      </c>
      <c r="J3" s="2" t="s">
        <v>95</v>
      </c>
      <c r="K3" s="2" t="s">
        <v>77</v>
      </c>
    </row>
    <row r="4" spans="1:11" x14ac:dyDescent="0.35">
      <c r="A4" s="19">
        <v>3</v>
      </c>
      <c r="B4" s="2" t="s">
        <v>23</v>
      </c>
      <c r="C4" s="7" t="s">
        <v>75</v>
      </c>
      <c r="D4" s="22" t="s">
        <v>96</v>
      </c>
      <c r="E4" s="2" t="s">
        <v>97</v>
      </c>
      <c r="F4" s="2" t="s">
        <v>98</v>
      </c>
      <c r="G4" s="9" t="s">
        <v>99</v>
      </c>
      <c r="H4" s="2" t="s">
        <v>100</v>
      </c>
      <c r="I4" s="2" t="s">
        <v>101</v>
      </c>
      <c r="J4" s="2" t="s">
        <v>102</v>
      </c>
      <c r="K4" s="2" t="s">
        <v>74</v>
      </c>
    </row>
    <row r="5" spans="1:11" x14ac:dyDescent="0.35">
      <c r="A5" s="6">
        <v>4</v>
      </c>
      <c r="B5" s="2" t="s">
        <v>24</v>
      </c>
      <c r="C5" s="7" t="s">
        <v>73</v>
      </c>
      <c r="D5" s="8" t="s">
        <v>103</v>
      </c>
      <c r="E5" s="25">
        <v>3123572173</v>
      </c>
      <c r="F5" s="2" t="s">
        <v>104</v>
      </c>
      <c r="G5" s="9" t="s">
        <v>105</v>
      </c>
      <c r="H5" s="2" t="s">
        <v>106</v>
      </c>
      <c r="I5" s="2" t="s">
        <v>107</v>
      </c>
      <c r="J5" s="2" t="s">
        <v>108</v>
      </c>
      <c r="K5" s="2" t="s">
        <v>74</v>
      </c>
    </row>
    <row r="6" spans="1:11" x14ac:dyDescent="0.35">
      <c r="A6" s="19">
        <v>5</v>
      </c>
      <c r="B6" s="2" t="s">
        <v>25</v>
      </c>
      <c r="C6" s="7" t="s">
        <v>73</v>
      </c>
      <c r="D6" s="22" t="s">
        <v>109</v>
      </c>
      <c r="E6" s="2" t="s">
        <v>110</v>
      </c>
      <c r="F6" s="2" t="s">
        <v>111</v>
      </c>
      <c r="G6" s="9" t="s">
        <v>112</v>
      </c>
      <c r="H6" s="2" t="s">
        <v>113</v>
      </c>
      <c r="I6" s="2" t="s">
        <v>114</v>
      </c>
      <c r="J6" s="2" t="s">
        <v>114</v>
      </c>
      <c r="K6" s="2" t="s">
        <v>74</v>
      </c>
    </row>
    <row r="7" spans="1:11" x14ac:dyDescent="0.35">
      <c r="A7" s="6">
        <v>6</v>
      </c>
      <c r="B7" s="2" t="s">
        <v>197</v>
      </c>
      <c r="C7" s="7" t="s">
        <v>75</v>
      </c>
      <c r="D7" s="22"/>
      <c r="E7" s="2"/>
      <c r="F7" s="2"/>
      <c r="G7" s="9"/>
      <c r="H7" s="2"/>
      <c r="I7" s="2"/>
      <c r="J7" s="2"/>
      <c r="K7" s="2"/>
    </row>
    <row r="8" spans="1:11" x14ac:dyDescent="0.35">
      <c r="A8" s="19">
        <v>7</v>
      </c>
      <c r="B8" s="2" t="s">
        <v>26</v>
      </c>
      <c r="C8" s="7" t="s">
        <v>75</v>
      </c>
      <c r="D8" s="8" t="s">
        <v>115</v>
      </c>
      <c r="E8" s="2" t="s">
        <v>116</v>
      </c>
      <c r="F8" s="2" t="s">
        <v>117</v>
      </c>
      <c r="G8" s="9" t="s">
        <v>118</v>
      </c>
      <c r="H8" s="10" t="s">
        <v>119</v>
      </c>
      <c r="I8" s="2" t="s">
        <v>120</v>
      </c>
      <c r="J8" s="2" t="s">
        <v>121</v>
      </c>
      <c r="K8" s="2" t="s">
        <v>74</v>
      </c>
    </row>
    <row r="9" spans="1:11" x14ac:dyDescent="0.35">
      <c r="A9" s="6">
        <v>8</v>
      </c>
      <c r="B9" s="2" t="s">
        <v>27</v>
      </c>
      <c r="C9" s="7" t="s">
        <v>75</v>
      </c>
      <c r="D9" s="22" t="s">
        <v>122</v>
      </c>
      <c r="E9" s="2" t="s">
        <v>123</v>
      </c>
      <c r="F9" s="2" t="s">
        <v>124</v>
      </c>
      <c r="G9" s="9" t="s">
        <v>125</v>
      </c>
      <c r="H9" s="2" t="s">
        <v>126</v>
      </c>
      <c r="I9" s="2" t="s">
        <v>127</v>
      </c>
      <c r="J9" s="2" t="s">
        <v>128</v>
      </c>
      <c r="K9" s="2" t="s">
        <v>74</v>
      </c>
    </row>
    <row r="10" spans="1:11" x14ac:dyDescent="0.35">
      <c r="A10" s="19">
        <v>9</v>
      </c>
      <c r="B10" s="2" t="s">
        <v>28</v>
      </c>
      <c r="C10" s="7" t="s">
        <v>73</v>
      </c>
      <c r="D10" s="8" t="s">
        <v>129</v>
      </c>
      <c r="E10" s="2" t="s">
        <v>130</v>
      </c>
      <c r="F10" s="2" t="s">
        <v>131</v>
      </c>
      <c r="G10" s="9" t="s">
        <v>132</v>
      </c>
      <c r="H10" s="2" t="s">
        <v>133</v>
      </c>
      <c r="I10" s="2" t="s">
        <v>134</v>
      </c>
      <c r="J10" s="2" t="s">
        <v>135</v>
      </c>
      <c r="K10" s="2" t="s">
        <v>74</v>
      </c>
    </row>
    <row r="11" spans="1:11" x14ac:dyDescent="0.35">
      <c r="A11" s="6">
        <v>10</v>
      </c>
      <c r="B11" s="2" t="s">
        <v>29</v>
      </c>
      <c r="C11" s="7" t="s">
        <v>73</v>
      </c>
      <c r="D11" s="22" t="s">
        <v>136</v>
      </c>
      <c r="E11" s="2" t="s">
        <v>137</v>
      </c>
      <c r="F11" s="2" t="s">
        <v>138</v>
      </c>
      <c r="G11" s="9" t="s">
        <v>139</v>
      </c>
      <c r="H11" s="10" t="s">
        <v>196</v>
      </c>
      <c r="I11" s="23" t="s">
        <v>140</v>
      </c>
      <c r="J11" s="2" t="s">
        <v>141</v>
      </c>
      <c r="K11" s="2" t="s">
        <v>74</v>
      </c>
    </row>
    <row r="12" spans="1:11" x14ac:dyDescent="0.35">
      <c r="A12" s="19">
        <v>11</v>
      </c>
      <c r="B12" s="2" t="s">
        <v>30</v>
      </c>
      <c r="C12" s="7" t="s">
        <v>73</v>
      </c>
      <c r="D12" s="8" t="s">
        <v>142</v>
      </c>
      <c r="E12" s="2" t="s">
        <v>143</v>
      </c>
      <c r="F12" s="2" t="s">
        <v>144</v>
      </c>
      <c r="G12" s="9" t="s">
        <v>145</v>
      </c>
      <c r="H12" s="2" t="s">
        <v>146</v>
      </c>
      <c r="I12" s="2" t="s">
        <v>147</v>
      </c>
      <c r="J12" s="2" t="s">
        <v>148</v>
      </c>
      <c r="K12" s="2" t="s">
        <v>74</v>
      </c>
    </row>
    <row r="13" spans="1:11" x14ac:dyDescent="0.35">
      <c r="A13" s="6">
        <v>12</v>
      </c>
      <c r="B13" s="2" t="s">
        <v>31</v>
      </c>
      <c r="C13" s="7" t="s">
        <v>73</v>
      </c>
      <c r="D13" s="22" t="s">
        <v>149</v>
      </c>
      <c r="E13" s="2" t="s">
        <v>150</v>
      </c>
      <c r="F13" s="2" t="s">
        <v>151</v>
      </c>
      <c r="G13" s="9" t="s">
        <v>152</v>
      </c>
      <c r="H13" s="2" t="s">
        <v>153</v>
      </c>
      <c r="I13" s="2" t="s">
        <v>154</v>
      </c>
      <c r="J13" s="2" t="s">
        <v>155</v>
      </c>
      <c r="K13" s="2" t="s">
        <v>74</v>
      </c>
    </row>
    <row r="14" spans="1:11" x14ac:dyDescent="0.35">
      <c r="A14" s="19">
        <v>13</v>
      </c>
      <c r="B14" s="2" t="s">
        <v>32</v>
      </c>
      <c r="C14" s="7" t="s">
        <v>73</v>
      </c>
      <c r="D14" s="8" t="s">
        <v>156</v>
      </c>
      <c r="E14" s="2" t="s">
        <v>157</v>
      </c>
      <c r="F14" s="2" t="s">
        <v>158</v>
      </c>
      <c r="G14" s="9" t="s">
        <v>159</v>
      </c>
      <c r="H14" s="2" t="s">
        <v>160</v>
      </c>
      <c r="I14" s="2" t="s">
        <v>161</v>
      </c>
      <c r="J14" s="2" t="s">
        <v>162</v>
      </c>
      <c r="K14" s="2" t="s">
        <v>74</v>
      </c>
    </row>
    <row r="15" spans="1:11" x14ac:dyDescent="0.35">
      <c r="A15" s="6">
        <v>14</v>
      </c>
      <c r="B15" s="2" t="s">
        <v>33</v>
      </c>
      <c r="C15" s="7" t="s">
        <v>73</v>
      </c>
      <c r="D15" s="22" t="s">
        <v>163</v>
      </c>
      <c r="E15" s="2" t="s">
        <v>164</v>
      </c>
      <c r="F15" s="2" t="s">
        <v>165</v>
      </c>
      <c r="G15" s="9" t="s">
        <v>166</v>
      </c>
      <c r="H15" s="2" t="s">
        <v>76</v>
      </c>
      <c r="I15" s="2" t="s">
        <v>167</v>
      </c>
      <c r="J15" s="2" t="s">
        <v>168</v>
      </c>
      <c r="K15" s="2" t="s">
        <v>74</v>
      </c>
    </row>
    <row r="16" spans="1:11" x14ac:dyDescent="0.35">
      <c r="A16" s="19">
        <v>15</v>
      </c>
      <c r="B16" s="2" t="s">
        <v>34</v>
      </c>
      <c r="C16" s="7" t="s">
        <v>75</v>
      </c>
      <c r="D16" s="8" t="s">
        <v>169</v>
      </c>
      <c r="E16" s="2" t="s">
        <v>170</v>
      </c>
      <c r="F16" s="2" t="s">
        <v>171</v>
      </c>
      <c r="G16" s="9" t="s">
        <v>172</v>
      </c>
      <c r="H16" s="2" t="s">
        <v>173</v>
      </c>
      <c r="I16" s="2" t="s">
        <v>174</v>
      </c>
      <c r="J16" s="2" t="s">
        <v>175</v>
      </c>
      <c r="K16" s="2" t="s">
        <v>74</v>
      </c>
    </row>
    <row r="17" spans="1:11" x14ac:dyDescent="0.35">
      <c r="A17" s="6">
        <v>16</v>
      </c>
      <c r="B17" s="2" t="s">
        <v>35</v>
      </c>
      <c r="C17" s="7" t="s">
        <v>73</v>
      </c>
      <c r="D17" s="22" t="s">
        <v>176</v>
      </c>
      <c r="E17" s="2" t="s">
        <v>177</v>
      </c>
      <c r="F17" s="2" t="s">
        <v>178</v>
      </c>
      <c r="G17" s="9" t="s">
        <v>179</v>
      </c>
      <c r="H17" s="2" t="s">
        <v>180</v>
      </c>
      <c r="I17" s="2" t="s">
        <v>181</v>
      </c>
      <c r="J17" s="2" t="s">
        <v>182</v>
      </c>
      <c r="K17" s="2" t="s">
        <v>77</v>
      </c>
    </row>
    <row r="18" spans="1:11" x14ac:dyDescent="0.35">
      <c r="A18" s="19">
        <v>17</v>
      </c>
      <c r="B18" s="2" t="s">
        <v>36</v>
      </c>
      <c r="C18" s="7" t="s">
        <v>75</v>
      </c>
      <c r="D18" s="22" t="s">
        <v>183</v>
      </c>
      <c r="E18" s="2" t="s">
        <v>184</v>
      </c>
      <c r="F18" s="2" t="s">
        <v>185</v>
      </c>
      <c r="G18" s="9" t="s">
        <v>186</v>
      </c>
      <c r="H18" s="2" t="s">
        <v>133</v>
      </c>
      <c r="I18" s="2" t="s">
        <v>161</v>
      </c>
      <c r="J18" s="2" t="s">
        <v>187</v>
      </c>
      <c r="K18" s="2" t="s">
        <v>74</v>
      </c>
    </row>
    <row r="19" spans="1:11" x14ac:dyDescent="0.35">
      <c r="A19" s="11"/>
      <c r="C19" s="3"/>
      <c r="D19" s="3"/>
      <c r="G19" s="24"/>
    </row>
    <row r="20" spans="1:11" x14ac:dyDescent="0.35">
      <c r="B20" s="12" t="s">
        <v>188</v>
      </c>
      <c r="C20" s="12">
        <f>COUNTIFS(C2:C18,"L")</f>
        <v>10</v>
      </c>
    </row>
    <row r="21" spans="1:11" x14ac:dyDescent="0.35">
      <c r="B21" s="13" t="s">
        <v>189</v>
      </c>
      <c r="C21" s="13">
        <f>COUNTIFS(C3:C19,"P")</f>
        <v>7</v>
      </c>
    </row>
    <row r="22" spans="1:11" x14ac:dyDescent="0.35">
      <c r="B22" s="14" t="s">
        <v>78</v>
      </c>
      <c r="C22" s="14">
        <f>SUM(C20:C21)</f>
        <v>17</v>
      </c>
    </row>
    <row r="24" spans="1:11" x14ac:dyDescent="0.35">
      <c r="B24" s="12" t="s">
        <v>79</v>
      </c>
      <c r="C24" s="16">
        <v>2</v>
      </c>
    </row>
    <row r="25" spans="1:11" x14ac:dyDescent="0.35">
      <c r="B25" s="13" t="s">
        <v>80</v>
      </c>
      <c r="C25" s="17">
        <v>15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1FCC4-72A3-441F-AFC2-E6E1A6B74C6D}">
  <dimension ref="A1:A5"/>
  <sheetViews>
    <sheetView workbookViewId="0">
      <selection activeCell="B10" sqref="B10"/>
    </sheetView>
  </sheetViews>
  <sheetFormatPr defaultRowHeight="14.5" x14ac:dyDescent="0.35"/>
  <cols>
    <col min="1" max="1" width="14.36328125" customWidth="1"/>
  </cols>
  <sheetData>
    <row r="1" spans="1:1" x14ac:dyDescent="0.35">
      <c r="A1" s="39" t="s">
        <v>195</v>
      </c>
    </row>
    <row r="2" spans="1:1" x14ac:dyDescent="0.35">
      <c r="A2" t="s">
        <v>191</v>
      </c>
    </row>
    <row r="3" spans="1:1" x14ac:dyDescent="0.35">
      <c r="A3" t="s">
        <v>192</v>
      </c>
    </row>
    <row r="4" spans="1:1" x14ac:dyDescent="0.35">
      <c r="A4" t="s">
        <v>193</v>
      </c>
    </row>
    <row r="5" spans="1:1" x14ac:dyDescent="0.35">
      <c r="A5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4</vt:i4>
      </vt:variant>
    </vt:vector>
  </HeadingPairs>
  <TitlesOfParts>
    <vt:vector size="4" baseType="lpstr">
      <vt:lpstr>KELAS 7</vt:lpstr>
      <vt:lpstr>KELAS 8</vt:lpstr>
      <vt:lpstr>KELAS 9</vt:lpstr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Diartha Mega</dc:creator>
  <cp:lastModifiedBy>Diartha Mega</cp:lastModifiedBy>
  <cp:lastPrinted>2026-07-20T05:51:29Z</cp:lastPrinted>
  <dcterms:created xsi:type="dcterms:W3CDTF">2026-07-08T04:00:01Z</dcterms:created>
  <dcterms:modified xsi:type="dcterms:W3CDTF">2026-07-24T05:34:17Z</dcterms:modified>
</cp:coreProperties>
</file>